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ALYANI\Downloads\"/>
    </mc:Choice>
  </mc:AlternateContent>
  <xr:revisionPtr revIDLastSave="0" documentId="13_ncr:1_{C8533D28-6069-4960-B1B4-67A6304E4CBE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Sheet1" sheetId="23" r:id="rId3"/>
    <sheet name="Task_1" sheetId="15" r:id="rId4"/>
    <sheet name="Task_2" sheetId="18" r:id="rId5"/>
    <sheet name="Task_3" sheetId="16" r:id="rId6"/>
    <sheet name="Task_4" sheetId="19" r:id="rId7"/>
    <sheet name="Task_5" sheetId="20" r:id="rId8"/>
  </sheets>
  <functionGroups builtInGroupCount="19"/>
  <definedNames>
    <definedName name="_xlnm._FilterDatabase" localSheetId="1" hidden="1">Dataset!$A$1:$A$40</definedName>
    <definedName name="_xlnm._FilterDatabase" localSheetId="4" hidden="1">Task_2!$A$4:$F$30</definedName>
    <definedName name="_xlnm._FilterDatabase" localSheetId="5" hidden="1">Task_3!$A$15:$A$54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H16" i="16" l="1"/>
  <c r="C16" i="16"/>
  <c r="D16" i="16"/>
  <c r="E16" i="16"/>
  <c r="F16" i="16"/>
  <c r="B16" i="16"/>
  <c r="F30" i="18"/>
  <c r="E30" i="18"/>
  <c r="D30" i="18"/>
  <c r="C30" i="18"/>
  <c r="F29" i="18"/>
  <c r="E29" i="18"/>
  <c r="D29" i="18"/>
  <c r="C29" i="18"/>
  <c r="F28" i="18"/>
  <c r="E28" i="18"/>
  <c r="D28" i="18"/>
  <c r="C28" i="18"/>
  <c r="B30" i="18"/>
  <c r="B29" i="18"/>
  <c r="B28" i="18"/>
  <c r="H5" i="18"/>
  <c r="H43" i="1"/>
</calcChain>
</file>

<file path=xl/sharedStrings.xml><?xml version="1.0" encoding="utf-8"?>
<sst xmlns="http://schemas.openxmlformats.org/spreadsheetml/2006/main" count="486" uniqueCount="178">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</sst>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Times New Roman"/>
      <charset val="204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3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6"/>
      <tableStyleElement type="headerRow" dxfId="3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5" t="s">
        <v>172</v>
      </c>
      <c r="B9" s="25" t="s">
        <v>170</v>
      </c>
    </row>
    <row r="10" spans="1:3" x14ac:dyDescent="0.3">
      <c r="A10" s="34" t="s">
        <v>173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X64"/>
  <sheetViews>
    <sheetView topLeftCell="L1" zoomScaleNormal="100" workbookViewId="0">
      <pane ySplit="1" topLeftCell="A2" activePane="bottomLeft" state="frozen"/>
      <selection pane="bottomLeft" activeCell="V2" sqref="V2:V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5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0.99998842592592585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hidden="1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hidden="1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hidden="1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hidden="1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hidden="1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hidden="1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hidden="1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hidden="1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hidden="1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hidden="1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hidden="1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hidden="1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hidden="1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hidden="1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hidden="1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hidden="1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hidden="1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3" spans="1:24" x14ac:dyDescent="0.3">
      <c r="A43" s="7" t="s">
        <v>40</v>
      </c>
      <c r="H43" s="1">
        <f>SUMIF(H2:H40, "&gt;20")</f>
        <v>1473.0000000000002</v>
      </c>
    </row>
    <row r="44" spans="1:24" x14ac:dyDescent="0.3">
      <c r="A44" s="7" t="s">
        <v>4</v>
      </c>
    </row>
    <row r="45" spans="1:24" x14ac:dyDescent="0.3">
      <c r="A45" s="7" t="s">
        <v>7</v>
      </c>
    </row>
    <row r="46" spans="1:24" x14ac:dyDescent="0.3">
      <c r="A46" s="7" t="s">
        <v>8</v>
      </c>
    </row>
    <row r="47" spans="1:24" x14ac:dyDescent="0.3">
      <c r="A47" s="7" t="s">
        <v>11</v>
      </c>
    </row>
    <row r="48" spans="1:24" x14ac:dyDescent="0.3">
      <c r="A48" s="7" t="s">
        <v>12</v>
      </c>
    </row>
    <row r="49" spans="1:1" x14ac:dyDescent="0.3">
      <c r="A49" s="7" t="s">
        <v>14</v>
      </c>
    </row>
    <row r="50" spans="1:1" x14ac:dyDescent="0.3">
      <c r="A50" s="7" t="s">
        <v>15</v>
      </c>
    </row>
    <row r="51" spans="1:1" x14ac:dyDescent="0.3">
      <c r="A51" s="7" t="s">
        <v>16</v>
      </c>
    </row>
    <row r="52" spans="1:1" x14ac:dyDescent="0.3">
      <c r="A52" s="7" t="s">
        <v>18</v>
      </c>
    </row>
    <row r="53" spans="1:1" x14ac:dyDescent="0.3">
      <c r="A53" s="7" t="s">
        <v>20</v>
      </c>
    </row>
    <row r="54" spans="1:1" x14ac:dyDescent="0.3">
      <c r="A54" s="7" t="s">
        <v>22</v>
      </c>
    </row>
    <row r="55" spans="1:1" x14ac:dyDescent="0.3">
      <c r="A55" s="7" t="s">
        <v>23</v>
      </c>
    </row>
    <row r="56" spans="1:1" x14ac:dyDescent="0.3">
      <c r="A56" s="7" t="s">
        <v>24</v>
      </c>
    </row>
    <row r="57" spans="1:1" x14ac:dyDescent="0.3">
      <c r="A57" s="7" t="s">
        <v>28</v>
      </c>
    </row>
    <row r="58" spans="1:1" x14ac:dyDescent="0.3">
      <c r="A58" s="7" t="s">
        <v>57</v>
      </c>
    </row>
    <row r="59" spans="1:1" x14ac:dyDescent="0.3">
      <c r="A59" s="7" t="s">
        <v>58</v>
      </c>
    </row>
    <row r="60" spans="1:1" x14ac:dyDescent="0.3">
      <c r="A60" s="7" t="s">
        <v>31</v>
      </c>
    </row>
    <row r="61" spans="1:1" x14ac:dyDescent="0.3">
      <c r="A61" s="7" t="s">
        <v>32</v>
      </c>
    </row>
    <row r="62" spans="1:1" x14ac:dyDescent="0.3">
      <c r="A62" s="7" t="s">
        <v>34</v>
      </c>
    </row>
    <row r="63" spans="1:1" x14ac:dyDescent="0.3">
      <c r="A63" s="7" t="s">
        <v>37</v>
      </c>
    </row>
    <row r="64" spans="1:1" x14ac:dyDescent="0.3">
      <c r="A64" s="7" t="s">
        <v>39</v>
      </c>
    </row>
  </sheetData>
  <autoFilter ref="A1:A40" xr:uid="{00000000-0001-0000-0000-000000000000}">
    <filterColumn colId="0">
      <colorFilter dxfId="15"/>
    </filterColumn>
  </autoFilter>
  <phoneticPr fontId="18" type="noConversion"/>
  <conditionalFormatting sqref="A1:A1048576">
    <cfRule type="duplicateValues" dxfId="24" priority="5"/>
  </conditionalFormatting>
  <conditionalFormatting sqref="B1:B1048576">
    <cfRule type="duplicateValues" dxfId="29" priority="4"/>
  </conditionalFormatting>
  <conditionalFormatting sqref="A1:X40">
    <cfRule type="cellIs" dxfId="23" priority="3" operator="equal">
      <formula>-1</formula>
    </cfRule>
    <cfRule type="cellIs" dxfId="22" priority="2" operator="equal">
      <formula>1</formula>
    </cfRule>
    <cfRule type="cellIs" dxfId="2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B9982-9D50-4B3A-9409-0127749BF432}">
  <dimension ref="A1:X40"/>
  <sheetViews>
    <sheetView workbookViewId="0">
      <selection sqref="A1:XFD40"/>
    </sheetView>
  </sheetViews>
  <sheetFormatPr defaultRowHeight="13.2" x14ac:dyDescent="0.25"/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5" t="s">
        <v>106</v>
      </c>
    </row>
    <row r="2" spans="1:24" s="1" customFormat="1" ht="14.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s="1" customFormat="1" ht="14.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s="1" customFormat="1" ht="14.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s="1" customFormat="1" ht="14.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0.99998842592592585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s="1" customFormat="1" ht="14.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s="1" customFormat="1" ht="14.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s="1" customFormat="1" ht="14.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s="1" customFormat="1" ht="14.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s="1" customFormat="1" ht="14.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s="1" customFormat="1" ht="14.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s="1" customFormat="1" ht="14.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s="1" customFormat="1" ht="14.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s="1" customFormat="1" ht="14.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s="1" customFormat="1" ht="14.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s="1" customFormat="1" ht="14.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s="1" customFormat="1" ht="14.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s="1" customFormat="1" ht="14.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s="1" customFormat="1" ht="14.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s="1" customFormat="1" ht="14.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s="1" customFormat="1" ht="14.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s="1" customFormat="1" ht="14.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s="1" customFormat="1" ht="14.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s="1" customFormat="1" ht="14.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s="1" customFormat="1" ht="14.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s="1" customFormat="1" ht="14.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s="1" customFormat="1" ht="14.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s="1" customFormat="1" ht="14.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s="1" customFormat="1" ht="14.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s="1" customFormat="1" ht="14.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s="1" customFormat="1" ht="14.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s="1" customFormat="1" ht="14.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s="1" customFormat="1" ht="14.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s="1" customFormat="1" ht="14.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s="1" customFormat="1" ht="14.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s="1" customFormat="1" ht="14.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s="1" customFormat="1" ht="14.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s="1" customFormat="1" ht="14.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s="1" customFormat="1" ht="14.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s="1" customFormat="1" ht="14.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40">
    <cfRule type="duplicateValues" dxfId="20" priority="5"/>
  </conditionalFormatting>
  <conditionalFormatting sqref="B1:B40">
    <cfRule type="duplicateValues" dxfId="19" priority="4"/>
  </conditionalFormatting>
  <conditionalFormatting sqref="A1:X40">
    <cfRule type="cellIs" dxfId="16" priority="1" operator="equal">
      <formula>0</formula>
    </cfRule>
    <cfRule type="cellIs" dxfId="17" priority="2" operator="equal">
      <formula>1</formula>
    </cfRule>
    <cfRule type="cellIs" dxfId="18" priority="3" operator="equal">
      <formula>-1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H30"/>
  <sheetViews>
    <sheetView topLeftCell="A4" zoomScaleNormal="100" workbookViewId="0">
      <selection activeCell="B28" sqref="B28:F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8" s="40" customFormat="1" ht="21" x14ac:dyDescent="0.4">
      <c r="A1" s="41" t="s">
        <v>55</v>
      </c>
      <c r="B1" s="40" t="s">
        <v>165</v>
      </c>
    </row>
    <row r="2" spans="1:8" s="40" customFormat="1" ht="21" x14ac:dyDescent="0.4">
      <c r="B2" s="40" t="s">
        <v>162</v>
      </c>
    </row>
    <row r="3" spans="1:8" ht="14.4" x14ac:dyDescent="0.3">
      <c r="A3" s="1"/>
      <c r="B3" s="1"/>
      <c r="C3" s="1"/>
      <c r="D3" s="1"/>
      <c r="E3" s="1"/>
      <c r="F3" s="1"/>
      <c r="G3" s="1"/>
    </row>
    <row r="4" spans="1:8" ht="23.4" x14ac:dyDescent="0.45">
      <c r="A4" s="17" t="s">
        <v>163</v>
      </c>
      <c r="B4" s="1"/>
      <c r="C4" s="1"/>
      <c r="D4" s="1"/>
      <c r="E4" s="1"/>
      <c r="F4" s="1"/>
      <c r="G4" s="1"/>
    </row>
    <row r="5" spans="1:8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  <c r="H5" s="2" t="e">
        <f>FIND</f>
        <v>#NAME?</v>
      </c>
    </row>
    <row r="6" spans="1:8" ht="14.4" x14ac:dyDescent="0.3">
      <c r="A6" s="7" t="s">
        <v>40</v>
      </c>
      <c r="B6" s="1">
        <v>2.7</v>
      </c>
      <c r="C6" s="1">
        <v>7.6</v>
      </c>
      <c r="D6" s="1">
        <v>4.2</v>
      </c>
      <c r="E6" s="1">
        <v>8.9</v>
      </c>
      <c r="F6" s="1">
        <v>4.2</v>
      </c>
    </row>
    <row r="7" spans="1:8" ht="14.4" x14ac:dyDescent="0.3">
      <c r="A7" s="7" t="s">
        <v>4</v>
      </c>
      <c r="B7" s="1">
        <v>2.7</v>
      </c>
      <c r="C7" s="1">
        <v>7.6</v>
      </c>
      <c r="D7" s="1">
        <v>4.2</v>
      </c>
      <c r="E7" s="1">
        <v>8.9</v>
      </c>
      <c r="F7" s="1">
        <v>4.2</v>
      </c>
    </row>
    <row r="8" spans="1:8" ht="14.4" x14ac:dyDescent="0.3">
      <c r="A8" s="7" t="s">
        <v>7</v>
      </c>
      <c r="B8" s="1">
        <v>3.6</v>
      </c>
      <c r="C8" s="1">
        <v>11.1</v>
      </c>
      <c r="D8" s="1">
        <v>5.8</v>
      </c>
      <c r="E8" s="1">
        <v>12.2</v>
      </c>
      <c r="F8" s="1">
        <v>5.8</v>
      </c>
    </row>
    <row r="9" spans="1:8" ht="14.4" x14ac:dyDescent="0.3">
      <c r="A9" s="7" t="s">
        <v>8</v>
      </c>
      <c r="B9" s="1">
        <v>4.9000000000000004</v>
      </c>
      <c r="C9" s="1">
        <v>13.3</v>
      </c>
      <c r="D9" s="1">
        <v>8.1</v>
      </c>
      <c r="E9" s="1">
        <v>17</v>
      </c>
      <c r="F9" s="1">
        <v>8.1</v>
      </c>
    </row>
    <row r="10" spans="1:8" ht="14.4" x14ac:dyDescent="0.3">
      <c r="A10" s="7" t="s">
        <v>11</v>
      </c>
      <c r="B10" s="1">
        <v>9.4</v>
      </c>
      <c r="C10" s="1">
        <v>28.3</v>
      </c>
      <c r="D10" s="1">
        <v>16.100000000000001</v>
      </c>
      <c r="E10" s="1">
        <v>32.799999999999997</v>
      </c>
      <c r="F10" s="1">
        <v>16.100000000000001</v>
      </c>
    </row>
    <row r="11" spans="1:8" ht="14.4" x14ac:dyDescent="0.3">
      <c r="A11" s="7" t="s">
        <v>12</v>
      </c>
      <c r="B11" s="1">
        <v>11.6</v>
      </c>
      <c r="C11" s="1">
        <v>35.200000000000003</v>
      </c>
      <c r="D11" s="1">
        <v>21.3</v>
      </c>
      <c r="E11" s="1">
        <v>43</v>
      </c>
      <c r="F11" s="1">
        <v>21.3</v>
      </c>
    </row>
    <row r="12" spans="1:8" ht="14.4" x14ac:dyDescent="0.3">
      <c r="A12" s="7" t="s">
        <v>14</v>
      </c>
      <c r="B12" s="1">
        <v>18.399999999999999</v>
      </c>
      <c r="C12" s="1">
        <v>55.6</v>
      </c>
      <c r="D12" s="1">
        <v>33.799999999999997</v>
      </c>
      <c r="E12" s="1">
        <v>67.900000000000006</v>
      </c>
      <c r="F12" s="1">
        <v>33.799999999999997</v>
      </c>
    </row>
    <row r="13" spans="1:8" ht="14.4" x14ac:dyDescent="0.3">
      <c r="A13" s="7" t="s">
        <v>15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</row>
    <row r="14" spans="1:8" ht="14.4" x14ac:dyDescent="0.3">
      <c r="A14" s="7" t="s">
        <v>16</v>
      </c>
      <c r="B14" s="1">
        <v>21.9</v>
      </c>
      <c r="C14" s="1">
        <v>61.5</v>
      </c>
      <c r="D14" s="1">
        <v>40.1</v>
      </c>
      <c r="E14" s="1">
        <v>76.599999999999994</v>
      </c>
      <c r="F14" s="1">
        <v>40.1</v>
      </c>
    </row>
    <row r="15" spans="1:8" ht="14.4" x14ac:dyDescent="0.3">
      <c r="A15" s="7" t="s">
        <v>18</v>
      </c>
      <c r="B15" s="1">
        <v>26.8</v>
      </c>
      <c r="C15" s="1">
        <v>79.599999999999994</v>
      </c>
      <c r="D15" s="1">
        <v>47.9</v>
      </c>
      <c r="E15" s="1">
        <v>96.8</v>
      </c>
      <c r="F15" s="1">
        <v>47.9</v>
      </c>
    </row>
    <row r="16" spans="1:8" ht="14.4" x14ac:dyDescent="0.3">
      <c r="A16" s="7" t="s">
        <v>20</v>
      </c>
      <c r="B16" s="1">
        <v>28.5</v>
      </c>
      <c r="C16" s="1">
        <v>85.4</v>
      </c>
      <c r="D16" s="1">
        <v>52.3</v>
      </c>
      <c r="E16" s="1">
        <v>106.1</v>
      </c>
      <c r="F16" s="1">
        <v>52.3</v>
      </c>
    </row>
    <row r="17" spans="1:6" ht="14.4" x14ac:dyDescent="0.3">
      <c r="A17" s="7" t="s">
        <v>22</v>
      </c>
      <c r="B17" s="1">
        <v>30.7</v>
      </c>
      <c r="C17" s="1">
        <v>92.1</v>
      </c>
      <c r="D17" s="1">
        <v>57</v>
      </c>
      <c r="E17" s="1">
        <v>115.1</v>
      </c>
      <c r="F17" s="1">
        <v>57</v>
      </c>
    </row>
    <row r="18" spans="1:6" ht="14.4" x14ac:dyDescent="0.3">
      <c r="A18" s="7" t="s">
        <v>23</v>
      </c>
      <c r="B18" s="1">
        <v>33.799999999999997</v>
      </c>
      <c r="C18" s="1">
        <v>101.3</v>
      </c>
      <c r="D18" s="1">
        <v>61.4</v>
      </c>
      <c r="E18" s="1">
        <v>124.4</v>
      </c>
      <c r="F18" s="1">
        <v>61.4</v>
      </c>
    </row>
    <row r="19" spans="1:6" ht="14.4" x14ac:dyDescent="0.3">
      <c r="A19" s="7" t="s">
        <v>24</v>
      </c>
      <c r="B19" s="1">
        <v>34.700000000000003</v>
      </c>
      <c r="C19" s="1">
        <v>106.1</v>
      </c>
      <c r="D19" s="1">
        <v>63.6</v>
      </c>
      <c r="E19" s="1">
        <v>128.6</v>
      </c>
      <c r="F19" s="1">
        <v>63.6</v>
      </c>
    </row>
    <row r="20" spans="1:6" ht="14.4" x14ac:dyDescent="0.3">
      <c r="A20" s="7" t="s">
        <v>28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</row>
    <row r="21" spans="1:6" ht="14.4" x14ac:dyDescent="0.3">
      <c r="A21" s="7" t="s">
        <v>57</v>
      </c>
      <c r="B21" s="1">
        <v>41.3</v>
      </c>
      <c r="C21" s="1">
        <v>124.4</v>
      </c>
      <c r="D21" s="1">
        <v>75</v>
      </c>
      <c r="E21" s="1">
        <v>151.5</v>
      </c>
      <c r="F21" s="1">
        <v>75</v>
      </c>
    </row>
    <row r="22" spans="1:6" ht="14.4" x14ac:dyDescent="0.3">
      <c r="A22" s="7" t="s">
        <v>58</v>
      </c>
      <c r="B22" s="1">
        <v>-1</v>
      </c>
      <c r="C22" s="1">
        <v>-1</v>
      </c>
      <c r="D22" s="1">
        <v>-1</v>
      </c>
      <c r="E22" s="1">
        <v>-1</v>
      </c>
      <c r="F22" s="1">
        <v>-1</v>
      </c>
    </row>
    <row r="23" spans="1:6" ht="14.4" x14ac:dyDescent="0.3">
      <c r="A23" s="7" t="s">
        <v>31</v>
      </c>
      <c r="B23" s="1">
        <v>45</v>
      </c>
      <c r="C23" s="1">
        <v>133.4</v>
      </c>
      <c r="D23" s="1">
        <v>79.400000000000006</v>
      </c>
      <c r="E23" s="1">
        <v>160.9</v>
      </c>
      <c r="F23" s="1">
        <v>79.400000000000006</v>
      </c>
    </row>
    <row r="24" spans="1:6" ht="14.4" x14ac:dyDescent="0.3">
      <c r="A24" s="7" t="s">
        <v>32</v>
      </c>
      <c r="B24" s="1">
        <v>-1</v>
      </c>
      <c r="C24" s="1">
        <v>-1</v>
      </c>
      <c r="D24" s="1">
        <v>-1</v>
      </c>
      <c r="E24" s="1">
        <v>-1</v>
      </c>
      <c r="F24" s="1">
        <v>-1</v>
      </c>
    </row>
    <row r="25" spans="1:6" ht="14.4" x14ac:dyDescent="0.3">
      <c r="A25" s="7" t="s">
        <v>34</v>
      </c>
      <c r="B25" s="1">
        <v>43.3</v>
      </c>
      <c r="C25" s="1">
        <v>128.6</v>
      </c>
      <c r="D25" s="1">
        <v>79.400000000000006</v>
      </c>
      <c r="E25" s="1">
        <v>160.9</v>
      </c>
      <c r="F25" s="1">
        <v>79.400000000000006</v>
      </c>
    </row>
    <row r="26" spans="1:6" ht="14.4" x14ac:dyDescent="0.3">
      <c r="A26" s="7" t="s">
        <v>37</v>
      </c>
      <c r="B26" s="1">
        <v>49.1</v>
      </c>
      <c r="C26" s="1">
        <v>146.80000000000001</v>
      </c>
      <c r="D26" s="1">
        <v>90.9</v>
      </c>
      <c r="E26" s="1">
        <v>183.5</v>
      </c>
      <c r="F26" s="1">
        <v>90.9</v>
      </c>
    </row>
    <row r="27" spans="1:6" ht="14.4" x14ac:dyDescent="0.3">
      <c r="A27" s="7" t="s">
        <v>39</v>
      </c>
      <c r="B27" s="1">
        <v>51.8</v>
      </c>
      <c r="C27" s="1">
        <v>156.4</v>
      </c>
      <c r="D27" s="1">
        <v>93.1</v>
      </c>
      <c r="E27" s="1">
        <v>188.1</v>
      </c>
      <c r="F27" s="1"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autoFilter ref="A4:F30" xr:uid="{5880C1A1-DE1C-D845-B529-211E46D996F0}"/>
  <conditionalFormatting sqref="B6:B27">
    <cfRule type="cellIs" dxfId="12" priority="13" operator="equal">
      <formula>0</formula>
    </cfRule>
    <cfRule type="cellIs" dxfId="13" priority="14" operator="equal">
      <formula>1</formula>
    </cfRule>
    <cfRule type="cellIs" dxfId="14" priority="15" operator="equal">
      <formula>-1</formula>
    </cfRule>
  </conditionalFormatting>
  <conditionalFormatting sqref="C6:C27">
    <cfRule type="cellIs" dxfId="9" priority="10" operator="equal">
      <formula>0</formula>
    </cfRule>
    <cfRule type="cellIs" dxfId="10" priority="11" operator="equal">
      <formula>1</formula>
    </cfRule>
    <cfRule type="cellIs" dxfId="11" priority="12" operator="equal">
      <formula>-1</formula>
    </cfRule>
  </conditionalFormatting>
  <conditionalFormatting sqref="D6:D27">
    <cfRule type="cellIs" dxfId="6" priority="7" operator="equal">
      <formula>0</formula>
    </cfRule>
    <cfRule type="cellIs" dxfId="7" priority="8" operator="equal">
      <formula>1</formula>
    </cfRule>
    <cfRule type="cellIs" dxfId="8" priority="9" operator="equal">
      <formula>-1</formula>
    </cfRule>
  </conditionalFormatting>
  <conditionalFormatting sqref="E6:E27">
    <cfRule type="cellIs" dxfId="3" priority="4" operator="equal">
      <formula>0</formula>
    </cfRule>
    <cfRule type="cellIs" dxfId="4" priority="5" operator="equal">
      <formula>1</formula>
    </cfRule>
    <cfRule type="cellIs" dxfId="5" priority="6" operator="equal">
      <formula>-1</formula>
    </cfRule>
  </conditionalFormatting>
  <conditionalFormatting sqref="F6:F27">
    <cfRule type="cellIs" dxfId="0" priority="1" operator="equal">
      <formula>0</formula>
    </cfRule>
    <cfRule type="cellIs" dxfId="1" priority="2" operator="equal">
      <formula>1</formula>
    </cfRule>
    <cfRule type="cellIs" dxfId="2" priority="3" operator="equal">
      <formula>-1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2" t="s">
        <v>53</v>
      </c>
      <c r="B5" s="39"/>
    </row>
    <row r="6" spans="1:10" ht="18" x14ac:dyDescent="0.35">
      <c r="A6" s="42" t="s">
        <v>154</v>
      </c>
      <c r="B6" s="39"/>
    </row>
    <row r="7" spans="1:10" ht="18" x14ac:dyDescent="0.35">
      <c r="A7" s="42"/>
      <c r="B7" s="39"/>
    </row>
    <row r="9" spans="1:10" ht="23.4" x14ac:dyDescent="0.45">
      <c r="A9" s="17" t="s">
        <v>166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163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122</v>
      </c>
      <c r="B16" s="11" t="e">
        <f ca="1">Textsplit(A16, "-")</f>
        <v>#NAME?</v>
      </c>
      <c r="C16" s="11" t="e">
        <f t="shared" ref="C16:F16" ca="1" si="0">Textsplit(B16, "-")</f>
        <v>#NAME?</v>
      </c>
      <c r="D16" s="11" t="e">
        <f t="shared" ca="1" si="0"/>
        <v>#NAME?</v>
      </c>
      <c r="E16" s="11" t="e">
        <f t="shared" ca="1" si="0"/>
        <v>#NAME?</v>
      </c>
      <c r="F16" s="11" t="e">
        <f t="shared" ca="1" si="0"/>
        <v>#NAME?</v>
      </c>
      <c r="H16" s="1" t="e">
        <f ca="1">Textsplit(A16,"-")</f>
        <v>#NAME?</v>
      </c>
    </row>
    <row r="17" spans="1:6" x14ac:dyDescent="0.3">
      <c r="A17" s="7" t="s">
        <v>123</v>
      </c>
      <c r="B17" s="11"/>
      <c r="D17" s="11"/>
      <c r="F17" s="11"/>
    </row>
    <row r="18" spans="1:6" x14ac:dyDescent="0.3">
      <c r="A18" s="7" t="s">
        <v>124</v>
      </c>
      <c r="B18" s="11"/>
      <c r="D18" s="11"/>
      <c r="F18" s="11"/>
    </row>
    <row r="19" spans="1:6" x14ac:dyDescent="0.3">
      <c r="A19" s="7" t="s">
        <v>125</v>
      </c>
      <c r="B19" s="11"/>
      <c r="D19" s="11"/>
      <c r="F19" s="11"/>
    </row>
    <row r="20" spans="1:6" x14ac:dyDescent="0.3">
      <c r="A20" s="7" t="s">
        <v>126</v>
      </c>
      <c r="B20" s="11"/>
      <c r="D20" s="11"/>
      <c r="F20" s="11"/>
    </row>
    <row r="21" spans="1:6" x14ac:dyDescent="0.3">
      <c r="A21" s="7" t="s">
        <v>127</v>
      </c>
      <c r="B21" s="11"/>
      <c r="D21" s="11"/>
      <c r="F21" s="11"/>
    </row>
    <row r="22" spans="1:6" x14ac:dyDescent="0.3">
      <c r="A22" s="7" t="s">
        <v>128</v>
      </c>
      <c r="B22" s="11"/>
      <c r="D22" s="11"/>
      <c r="F22" s="11"/>
    </row>
    <row r="23" spans="1:6" x14ac:dyDescent="0.3">
      <c r="A23" s="7" t="s">
        <v>129</v>
      </c>
      <c r="B23" s="11"/>
      <c r="D23" s="11"/>
      <c r="F23" s="11"/>
    </row>
    <row r="24" spans="1:6" x14ac:dyDescent="0.3">
      <c r="A24" s="7" t="s">
        <v>130</v>
      </c>
      <c r="B24" s="11"/>
      <c r="D24" s="11"/>
      <c r="F24" s="11"/>
    </row>
    <row r="25" spans="1:6" x14ac:dyDescent="0.3">
      <c r="A25" s="7" t="s">
        <v>131</v>
      </c>
      <c r="B25" s="11"/>
      <c r="D25" s="11"/>
      <c r="F25" s="11"/>
    </row>
    <row r="26" spans="1:6" x14ac:dyDescent="0.3">
      <c r="A26" s="7" t="s">
        <v>132</v>
      </c>
      <c r="B26" s="11"/>
      <c r="D26" s="11"/>
      <c r="F26" s="11"/>
    </row>
    <row r="27" spans="1:6" x14ac:dyDescent="0.3">
      <c r="A27" s="7" t="s">
        <v>133</v>
      </c>
      <c r="B27" s="11"/>
      <c r="D27" s="11"/>
      <c r="F27" s="11"/>
    </row>
    <row r="28" spans="1:6" x14ac:dyDescent="0.3">
      <c r="A28" s="7" t="s">
        <v>134</v>
      </c>
      <c r="B28" s="11"/>
      <c r="D28" s="11"/>
      <c r="F28" s="11"/>
    </row>
    <row r="29" spans="1:6" x14ac:dyDescent="0.3">
      <c r="A29" s="7" t="s">
        <v>135</v>
      </c>
      <c r="B29" s="11"/>
      <c r="D29" s="11"/>
      <c r="F29" s="11"/>
    </row>
    <row r="30" spans="1:6" x14ac:dyDescent="0.3">
      <c r="A30" s="7" t="s">
        <v>136</v>
      </c>
      <c r="B30" s="11"/>
      <c r="D30" s="11"/>
      <c r="F30" s="11"/>
    </row>
    <row r="31" spans="1:6" x14ac:dyDescent="0.3">
      <c r="A31" s="7" t="s">
        <v>137</v>
      </c>
      <c r="B31" s="11"/>
      <c r="D31" s="11"/>
      <c r="F31" s="11"/>
    </row>
    <row r="32" spans="1:6" x14ac:dyDescent="0.3">
      <c r="A32" s="7" t="s">
        <v>138</v>
      </c>
      <c r="B32" s="11"/>
      <c r="D32" s="11"/>
      <c r="F32" s="11"/>
    </row>
    <row r="33" spans="1:6" x14ac:dyDescent="0.3">
      <c r="A33" s="7" t="s">
        <v>139</v>
      </c>
      <c r="B33" s="11"/>
      <c r="D33" s="11"/>
      <c r="F33" s="11"/>
    </row>
    <row r="34" spans="1:6" x14ac:dyDescent="0.3">
      <c r="A34" s="7" t="s">
        <v>140</v>
      </c>
      <c r="B34" s="11"/>
      <c r="D34" s="11"/>
      <c r="F34" s="11"/>
    </row>
    <row r="35" spans="1:6" x14ac:dyDescent="0.3">
      <c r="A35" s="7" t="s">
        <v>141</v>
      </c>
      <c r="B35" s="11"/>
      <c r="D35" s="11"/>
      <c r="F35" s="11"/>
    </row>
    <row r="36" spans="1:6" x14ac:dyDescent="0.3">
      <c r="A36" s="7" t="s">
        <v>142</v>
      </c>
      <c r="B36" s="11"/>
      <c r="D36" s="11"/>
      <c r="F36" s="11"/>
    </row>
    <row r="37" spans="1:6" x14ac:dyDescent="0.3">
      <c r="A37" s="7" t="s">
        <v>143</v>
      </c>
      <c r="B37" s="11"/>
      <c r="D37" s="11"/>
      <c r="F37" s="11"/>
    </row>
    <row r="38" spans="1:6" x14ac:dyDescent="0.3">
      <c r="A38" s="7" t="s">
        <v>144</v>
      </c>
      <c r="B38" s="11"/>
      <c r="D38" s="11"/>
      <c r="F38" s="11"/>
    </row>
    <row r="39" spans="1:6" x14ac:dyDescent="0.3">
      <c r="A39" s="7" t="s">
        <v>145</v>
      </c>
      <c r="B39" s="11"/>
      <c r="D39" s="11"/>
      <c r="F39" s="11"/>
    </row>
    <row r="40" spans="1:6" x14ac:dyDescent="0.3">
      <c r="A40" s="7" t="s">
        <v>146</v>
      </c>
      <c r="B40" s="11"/>
      <c r="D40" s="11"/>
      <c r="F40" s="11"/>
    </row>
    <row r="41" spans="1:6" x14ac:dyDescent="0.3">
      <c r="A41" s="7" t="s">
        <v>147</v>
      </c>
      <c r="B41" s="11"/>
      <c r="D41" s="11"/>
      <c r="F41" s="11"/>
    </row>
    <row r="42" spans="1:6" x14ac:dyDescent="0.3">
      <c r="A42" s="7" t="s">
        <v>148</v>
      </c>
      <c r="B42" s="11"/>
      <c r="D42" s="11"/>
      <c r="F42" s="11"/>
    </row>
    <row r="43" spans="1:6" x14ac:dyDescent="0.3">
      <c r="A43" s="7" t="s">
        <v>149</v>
      </c>
      <c r="B43" s="11"/>
      <c r="D43" s="11"/>
      <c r="F43" s="11"/>
    </row>
    <row r="44" spans="1:6" x14ac:dyDescent="0.3">
      <c r="A44" s="7" t="s">
        <v>150</v>
      </c>
      <c r="B44" s="11"/>
      <c r="D44" s="11"/>
      <c r="F44" s="11"/>
    </row>
    <row r="45" spans="1:6" x14ac:dyDescent="0.3">
      <c r="A45" s="7" t="s">
        <v>151</v>
      </c>
      <c r="B45" s="11"/>
      <c r="D45" s="11"/>
      <c r="F45" s="11"/>
    </row>
    <row r="46" spans="1:6" x14ac:dyDescent="0.3">
      <c r="A46" s="7" t="s">
        <v>113</v>
      </c>
      <c r="B46" s="11"/>
      <c r="D46" s="11"/>
      <c r="F46" s="11"/>
    </row>
    <row r="47" spans="1:6" x14ac:dyDescent="0.3">
      <c r="A47" s="7" t="s">
        <v>114</v>
      </c>
      <c r="B47" s="11"/>
      <c r="D47" s="11"/>
      <c r="F47" s="11"/>
    </row>
    <row r="48" spans="1:6" x14ac:dyDescent="0.3">
      <c r="A48" s="7" t="s">
        <v>115</v>
      </c>
      <c r="B48" s="11"/>
      <c r="D48" s="11"/>
      <c r="F48" s="11"/>
    </row>
    <row r="49" spans="1:6" x14ac:dyDescent="0.3">
      <c r="A49" s="7" t="s">
        <v>116</v>
      </c>
      <c r="B49" s="11"/>
      <c r="D49" s="11"/>
      <c r="F49" s="11"/>
    </row>
    <row r="50" spans="1:6" x14ac:dyDescent="0.3">
      <c r="A50" s="7" t="s">
        <v>117</v>
      </c>
      <c r="B50" s="11"/>
      <c r="D50" s="11"/>
      <c r="F50" s="11"/>
    </row>
    <row r="51" spans="1:6" x14ac:dyDescent="0.3">
      <c r="A51" s="7" t="s">
        <v>118</v>
      </c>
      <c r="B51" s="11"/>
      <c r="D51" s="11"/>
      <c r="F51" s="11"/>
    </row>
    <row r="52" spans="1:6" x14ac:dyDescent="0.3">
      <c r="A52" s="7" t="s">
        <v>119</v>
      </c>
      <c r="B52" s="11"/>
      <c r="D52" s="11"/>
      <c r="F52" s="11"/>
    </row>
    <row r="53" spans="1:6" x14ac:dyDescent="0.3">
      <c r="A53" s="7" t="s">
        <v>120</v>
      </c>
      <c r="B53" s="11"/>
      <c r="D53" s="11"/>
      <c r="F53" s="11"/>
    </row>
    <row r="54" spans="1:6" x14ac:dyDescent="0.3">
      <c r="A54" s="8" t="s">
        <v>121</v>
      </c>
      <c r="B54" s="12"/>
      <c r="C54" s="9"/>
      <c r="D54" s="12"/>
      <c r="E54" s="9"/>
      <c r="F54" s="12"/>
    </row>
  </sheetData>
  <autoFilter ref="A15:A54" xr:uid="{BD6CF3FD-6C65-9F49-B11C-E6C484C26EF7}"/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abSelected="1" zoomScaleNormal="100" workbookViewId="0">
      <selection activeCell="C13" sqref="C1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168</v>
      </c>
    </row>
    <row r="2" spans="1:3" ht="18" x14ac:dyDescent="0.35">
      <c r="B2" s="39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154</v>
      </c>
      <c r="B7" s="1"/>
    </row>
    <row r="10" spans="1:3" ht="23.4" x14ac:dyDescent="0.45">
      <c r="A10" s="17" t="s">
        <v>163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155</v>
      </c>
      <c r="C17" s="16">
        <v>150</v>
      </c>
    </row>
    <row r="18" spans="1:3" ht="14.4" x14ac:dyDescent="0.3">
      <c r="A18" s="31">
        <v>44933</v>
      </c>
      <c r="B18" s="16" t="s">
        <v>156</v>
      </c>
      <c r="C18" s="16">
        <v>80</v>
      </c>
    </row>
    <row r="19" spans="1:3" ht="14.4" x14ac:dyDescent="0.3">
      <c r="A19" s="31">
        <v>44934</v>
      </c>
      <c r="B19" s="16" t="s">
        <v>157</v>
      </c>
      <c r="C19" s="16" t="e">
        <v>#N/A</v>
      </c>
    </row>
    <row r="20" spans="1:3" ht="14.4" x14ac:dyDescent="0.3">
      <c r="A20" s="31">
        <v>44935</v>
      </c>
      <c r="B20" s="16" t="s">
        <v>158</v>
      </c>
      <c r="C20" s="16">
        <v>30</v>
      </c>
    </row>
    <row r="21" spans="1:3" ht="14.4" x14ac:dyDescent="0.3">
      <c r="A21" s="31">
        <v>44936</v>
      </c>
      <c r="B21" s="16" t="s">
        <v>159</v>
      </c>
      <c r="C21" s="16" t="e">
        <v>#N/A</v>
      </c>
    </row>
    <row r="22" spans="1:3" ht="14.4" x14ac:dyDescent="0.3">
      <c r="B22" s="16" t="s">
        <v>160</v>
      </c>
      <c r="C22" s="2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176</v>
      </c>
    </row>
    <row r="3" spans="1:14" ht="14.4" x14ac:dyDescent="0.3">
      <c r="B3" s="1" t="s">
        <v>152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154</v>
      </c>
      <c r="B5" s="1"/>
    </row>
    <row r="6" spans="1:14" ht="14.4" x14ac:dyDescent="0.3">
      <c r="A6" s="3"/>
      <c r="B6" s="1"/>
    </row>
    <row r="8" spans="1:14" ht="23.4" x14ac:dyDescent="0.45">
      <c r="A8" s="17" t="s">
        <v>163</v>
      </c>
      <c r="M8" s="17" t="s">
        <v>164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169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/>
    </row>
    <row r="24" spans="1:14" ht="14.4" x14ac:dyDescent="0.3">
      <c r="A24" s="7">
        <v>10100</v>
      </c>
      <c r="B24" s="11">
        <v>10104</v>
      </c>
      <c r="C24" s="43"/>
    </row>
    <row r="25" spans="1:14" ht="14.4" x14ac:dyDescent="0.3">
      <c r="A25" s="7">
        <v>10108</v>
      </c>
      <c r="B25" s="11">
        <v>10102</v>
      </c>
      <c r="C25" s="43"/>
    </row>
    <row r="26" spans="1:14" ht="14.4" x14ac:dyDescent="0.3">
      <c r="A26" s="7">
        <v>10100</v>
      </c>
      <c r="B26" s="11">
        <v>10106</v>
      </c>
      <c r="C26" s="43"/>
    </row>
    <row r="27" spans="1:14" ht="14.4" x14ac:dyDescent="0.3">
      <c r="A27" s="7">
        <v>10108</v>
      </c>
      <c r="B27" s="11">
        <v>10110</v>
      </c>
      <c r="C27" s="43"/>
    </row>
    <row r="28" spans="1:14" ht="14.4" x14ac:dyDescent="0.3">
      <c r="A28" s="7">
        <v>10102</v>
      </c>
      <c r="B28" s="11">
        <v>10104</v>
      </c>
      <c r="C28" s="43"/>
    </row>
    <row r="29" spans="1:14" ht="14.4" x14ac:dyDescent="0.3">
      <c r="A29" s="7">
        <v>10106</v>
      </c>
      <c r="B29" s="11">
        <v>10108</v>
      </c>
      <c r="C29" s="43"/>
    </row>
    <row r="30" spans="1:14" ht="14.4" x14ac:dyDescent="0.3">
      <c r="A30" s="7">
        <v>10102</v>
      </c>
      <c r="B30" s="11">
        <v>10106</v>
      </c>
      <c r="C30" s="43"/>
    </row>
    <row r="31" spans="1:14" ht="14.4" x14ac:dyDescent="0.3">
      <c r="A31" s="7">
        <v>10110</v>
      </c>
      <c r="B31" s="11">
        <v>10114</v>
      </c>
      <c r="C31" s="43"/>
    </row>
    <row r="32" spans="1:14" ht="14.4" x14ac:dyDescent="0.3">
      <c r="A32" s="7">
        <v>10104</v>
      </c>
      <c r="B32" s="11">
        <v>10106</v>
      </c>
      <c r="C32" s="43"/>
    </row>
    <row r="33" spans="1:3" ht="14.4" x14ac:dyDescent="0.3">
      <c r="A33" s="7">
        <v>10110</v>
      </c>
      <c r="B33" s="11">
        <v>10112</v>
      </c>
      <c r="C33" s="43"/>
    </row>
    <row r="34" spans="1:3" ht="14.4" x14ac:dyDescent="0.3">
      <c r="A34" s="7">
        <v>10100</v>
      </c>
      <c r="B34" s="11">
        <v>10114</v>
      </c>
      <c r="C34" s="43"/>
    </row>
    <row r="35" spans="1:3" ht="14.4" x14ac:dyDescent="0.3">
      <c r="A35" s="8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Dataset</vt:lpstr>
      <vt:lpstr>Sheet1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KALYANI B RAY</cp:lastModifiedBy>
  <dcterms:created xsi:type="dcterms:W3CDTF">2015-02-10T17:33:11Z</dcterms:created>
  <dcterms:modified xsi:type="dcterms:W3CDTF">2023-12-10T18:25:11Z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f76604ab-caa7-4a10-9647-f0400b1a4806</vt:lpwstr>
  </property>
</Properties>
</file>